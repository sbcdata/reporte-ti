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fael.oliveira\Desktop\dashboard-ti\public\data\"/>
    </mc:Choice>
  </mc:AlternateContent>
  <xr:revisionPtr revIDLastSave="0" documentId="13_ncr:1_{B26EC4B8-10F6-4729-AAFB-A633ED89A33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" i="1"/>
  <c r="L3" i="1"/>
</calcChain>
</file>

<file path=xl/sharedStrings.xml><?xml version="1.0" encoding="utf-8"?>
<sst xmlns="http://schemas.openxmlformats.org/spreadsheetml/2006/main" count="307" uniqueCount="110">
  <si>
    <t>Unidade</t>
  </si>
  <si>
    <t>Problema</t>
  </si>
  <si>
    <t>Categoria</t>
  </si>
  <si>
    <t>Criticidade</t>
  </si>
  <si>
    <t>Impacto</t>
  </si>
  <si>
    <t>Ação</t>
  </si>
  <si>
    <t>Responsável</t>
  </si>
  <si>
    <t>Prazo</t>
  </si>
  <si>
    <t>Prioridade</t>
  </si>
  <si>
    <t>PS Santana / UPA Jaçanã</t>
  </si>
  <si>
    <t>Mini PCs com baixo desempenho</t>
  </si>
  <si>
    <t>Crítico</t>
  </si>
  <si>
    <t>Impacto na produtividade</t>
  </si>
  <si>
    <t>Substituir equipamentos</t>
  </si>
  <si>
    <t>TI Infra</t>
  </si>
  <si>
    <t>30 dias</t>
  </si>
  <si>
    <t>Alta</t>
  </si>
  <si>
    <t>Lentidão e travamentos</t>
  </si>
  <si>
    <t>Impacto assistencial</t>
  </si>
  <si>
    <t>Troca e tuning</t>
  </si>
  <si>
    <t>Falhas de Wi-Fi</t>
  </si>
  <si>
    <t>Queda operacional</t>
  </si>
  <si>
    <t>Ampliar cobertura</t>
  </si>
  <si>
    <t>Redes</t>
  </si>
  <si>
    <t>20 dias</t>
  </si>
  <si>
    <t>Quedas de link</t>
  </si>
  <si>
    <t>Indisponibilidade</t>
  </si>
  <si>
    <t>15 dias</t>
  </si>
  <si>
    <t>Mudanças firewall sem controle</t>
  </si>
  <si>
    <t>Segurança</t>
  </si>
  <si>
    <t>AME Andradina</t>
  </si>
  <si>
    <t>Impressoras falha</t>
  </si>
  <si>
    <t>Parada operacional</t>
  </si>
  <si>
    <t>Padronizar parque</t>
  </si>
  <si>
    <t>Risco ambiental</t>
  </si>
  <si>
    <t>Dano físico</t>
  </si>
  <si>
    <t>Adequar ambiente</t>
  </si>
  <si>
    <t>Infraestrutura</t>
  </si>
  <si>
    <t>Rompimento fibra</t>
  </si>
  <si>
    <t>Parada total</t>
  </si>
  <si>
    <t>Implantar redundância</t>
  </si>
  <si>
    <t>Instabilidade</t>
  </si>
  <si>
    <t>Expandir cobertura</t>
  </si>
  <si>
    <t>Grave</t>
  </si>
  <si>
    <t>Risco LGPD</t>
  </si>
  <si>
    <t>Criar VLANs</t>
  </si>
  <si>
    <t>25 dias</t>
  </si>
  <si>
    <t>Média</t>
  </si>
  <si>
    <t>PEP não funcional</t>
  </si>
  <si>
    <t>Reimplantar sistema</t>
  </si>
  <si>
    <t>Sistemas</t>
  </si>
  <si>
    <t>40 dias</t>
  </si>
  <si>
    <t>Falha registro</t>
  </si>
  <si>
    <t>Treinamento</t>
  </si>
  <si>
    <t>Operação</t>
  </si>
  <si>
    <t>Queda operação</t>
  </si>
  <si>
    <t>Corrigir rede</t>
  </si>
  <si>
    <t>Superintendência</t>
  </si>
  <si>
    <t>Status</t>
  </si>
  <si>
    <t>Tassiana Diaz</t>
  </si>
  <si>
    <t>PCs com baixo desempenho</t>
  </si>
  <si>
    <t>Ausência de rede cabeada</t>
  </si>
  <si>
    <t>Em andamento - edital de equipamentos</t>
  </si>
  <si>
    <t>Controle de segurança Wi-fi</t>
  </si>
  <si>
    <t>Equipe não usa PEP</t>
  </si>
  <si>
    <t xml:space="preserve">PS Santana / UPA Jaçanã </t>
  </si>
  <si>
    <t>Estado</t>
  </si>
  <si>
    <t>São Paulo</t>
  </si>
  <si>
    <t xml:space="preserve">AME CRI </t>
  </si>
  <si>
    <t xml:space="preserve">AME Promissão </t>
  </si>
  <si>
    <t>Piauí</t>
  </si>
  <si>
    <t>Sergipe</t>
  </si>
  <si>
    <t xml:space="preserve">UPA Tobias Barreto </t>
  </si>
  <si>
    <t>UPA Picos</t>
  </si>
  <si>
    <t xml:space="preserve">Jacarei </t>
  </si>
  <si>
    <t>Central de Exames de Picos</t>
  </si>
  <si>
    <t>Central de Exames Valença</t>
  </si>
  <si>
    <t>UPA São Raimundo Nonato</t>
  </si>
  <si>
    <t>Link de internet Redundante</t>
  </si>
  <si>
    <t>Oscilação de internet</t>
  </si>
  <si>
    <t>UPA Zona Leste Santos</t>
  </si>
  <si>
    <t>Ausência de Wifi Corporativo</t>
  </si>
  <si>
    <t>Ausência de equipamentos de Backup</t>
  </si>
  <si>
    <t xml:space="preserve">Infraestrutura </t>
  </si>
  <si>
    <t>Limitação de mobilidade</t>
  </si>
  <si>
    <t>Implantação de ambiente  WIFI</t>
  </si>
  <si>
    <t>Processo dependente</t>
  </si>
  <si>
    <t>Montado relatório pois processo precisa de aprovação da prefeitura</t>
  </si>
  <si>
    <t>Conectividade</t>
  </si>
  <si>
    <t>TI</t>
  </si>
  <si>
    <t>DTIC - Prefeitura</t>
  </si>
  <si>
    <t>Em andamento trocas com fornecedor</t>
  </si>
  <si>
    <t>Notificação de prestador - Prefeitura</t>
  </si>
  <si>
    <t>Necessidade de substituição</t>
  </si>
  <si>
    <t>Necessidade de investimento para trocas</t>
  </si>
  <si>
    <t>Hardware</t>
  </si>
  <si>
    <t>Rede</t>
  </si>
  <si>
    <t>Necessidade de investimento para ampliação de controle</t>
  </si>
  <si>
    <t>Alta Gestão</t>
  </si>
  <si>
    <t>Custo</t>
  </si>
  <si>
    <t>Impressão</t>
  </si>
  <si>
    <t>Prontuario Eletrônico</t>
  </si>
  <si>
    <t>Assistencial</t>
  </si>
  <si>
    <t>Performance</t>
  </si>
  <si>
    <t>Bloqueios operacionais</t>
  </si>
  <si>
    <t>Informado a necessidade de treinamento por parte da operação</t>
  </si>
  <si>
    <t>Em entenimentos técnicos entre TI e Dtic</t>
  </si>
  <si>
    <t>Necessidade de investimento para troca de equipamentos</t>
  </si>
  <si>
    <t>Edital realizado e substituido equipamentos</t>
  </si>
  <si>
    <t>Urgência e Emergencia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</si>
</sst>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showGridLines="0" tabSelected="1" topLeftCell="A16" zoomScale="90" zoomScaleNormal="90" workbookViewId="0">
      <selection activeCell="H8" sqref="B8:H8"/>
    </sheetView>
  </sheetViews>
  <sheetFormatPr defaultRowHeight="14.5" x14ac:dyDescent="0.35"/>
  <cols>
    <col min="1" max="1" width="20.81640625" customWidth="1"/>
    <col min="2" max="2" width="25.54296875" bestFit="1" customWidth="1"/>
    <col min="3" max="3" width="9.81640625" bestFit="1" customWidth="1"/>
    <col min="4" max="4" width="16.81640625" hidden="1" customWidth="1"/>
    <col min="5" max="5" width="35.26953125" bestFit="1" customWidth="1"/>
    <col min="6" max="6" width="20.26953125" bestFit="1" customWidth="1"/>
    <col min="7" max="7" width="10.54296875" bestFit="1" customWidth="1"/>
    <col min="8" max="8" width="25.7265625" bestFit="1" customWidth="1"/>
    <col min="9" max="9" width="34.1796875" bestFit="1" customWidth="1"/>
    <col min="10" max="10" width="16.81640625" bestFit="1" customWidth="1"/>
    <col min="11" max="11" width="40.453125" bestFit="1" customWidth="1"/>
    <col min="12" max="12" width="30.453125" customWidth="1"/>
    <col min="13" max="13" width="13.453125" customWidth="1"/>
    <col min="14" max="14" width="10.26953125" bestFit="1" customWidth="1"/>
  </cols>
  <sheetData>
    <row r="1" spans="1:14" x14ac:dyDescent="0.35">
      <c r="A1" s="3" t="s">
        <v>57</v>
      </c>
      <c r="B1" s="3" t="s">
        <v>0</v>
      </c>
      <c r="C1" s="3" t="s">
        <v>66</v>
      </c>
      <c r="D1" s="3" t="s">
        <v>57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58</v>
      </c>
      <c r="L1" s="3" t="s">
        <v>99</v>
      </c>
      <c r="M1" s="3" t="s">
        <v>7</v>
      </c>
      <c r="N1" s="3" t="s">
        <v>8</v>
      </c>
    </row>
    <row r="2" spans="1:14" x14ac:dyDescent="0.35">
      <c r="A2" s="1" t="s">
        <v>109</v>
      </c>
      <c r="B2" s="1" t="s">
        <v>9</v>
      </c>
      <c r="C2" s="1" t="s">
        <v>67</v>
      </c>
      <c r="D2" s="2" t="s">
        <v>59</v>
      </c>
      <c r="E2" s="1" t="s">
        <v>10</v>
      </c>
      <c r="F2" s="1" t="s">
        <v>37</v>
      </c>
      <c r="G2" s="1" t="s">
        <v>11</v>
      </c>
      <c r="H2" s="1" t="s">
        <v>12</v>
      </c>
      <c r="I2" s="1" t="s">
        <v>13</v>
      </c>
      <c r="J2" s="1" t="s">
        <v>89</v>
      </c>
      <c r="K2" s="1" t="s">
        <v>91</v>
      </c>
      <c r="L2" s="1">
        <f ca="1">RANDBETWEEN(1000,5000)</f>
        <v>2429</v>
      </c>
      <c r="M2" s="1" t="s">
        <v>15</v>
      </c>
      <c r="N2" s="1" t="s">
        <v>16</v>
      </c>
    </row>
    <row r="3" spans="1:14" x14ac:dyDescent="0.35">
      <c r="A3" s="1" t="s">
        <v>109</v>
      </c>
      <c r="B3" s="1" t="s">
        <v>9</v>
      </c>
      <c r="C3" s="1" t="s">
        <v>67</v>
      </c>
      <c r="D3" s="2" t="s">
        <v>59</v>
      </c>
      <c r="E3" s="1" t="s">
        <v>17</v>
      </c>
      <c r="F3" s="1" t="s">
        <v>37</v>
      </c>
      <c r="G3" s="1" t="s">
        <v>11</v>
      </c>
      <c r="H3" s="1" t="s">
        <v>18</v>
      </c>
      <c r="I3" s="1" t="s">
        <v>19</v>
      </c>
      <c r="J3" s="1" t="s">
        <v>89</v>
      </c>
      <c r="K3" s="1" t="s">
        <v>91</v>
      </c>
      <c r="L3" s="1">
        <f ca="1">RANDBETWEEN(1000,5000)</f>
        <v>4367</v>
      </c>
      <c r="M3" s="1" t="s">
        <v>15</v>
      </c>
      <c r="N3" s="1" t="s">
        <v>16</v>
      </c>
    </row>
    <row r="4" spans="1:14" x14ac:dyDescent="0.35">
      <c r="A4" s="1" t="s">
        <v>109</v>
      </c>
      <c r="B4" s="1" t="s">
        <v>65</v>
      </c>
      <c r="C4" s="1" t="s">
        <v>67</v>
      </c>
      <c r="D4" s="2" t="s">
        <v>59</v>
      </c>
      <c r="E4" s="1" t="s">
        <v>20</v>
      </c>
      <c r="F4" s="1" t="s">
        <v>88</v>
      </c>
      <c r="G4" s="1" t="s">
        <v>11</v>
      </c>
      <c r="H4" s="1" t="s">
        <v>21</v>
      </c>
      <c r="I4" s="1" t="s">
        <v>22</v>
      </c>
      <c r="J4" s="1" t="s">
        <v>90</v>
      </c>
      <c r="K4" s="1" t="s">
        <v>106</v>
      </c>
      <c r="L4" s="1">
        <f t="shared" ref="L4:L25" ca="1" si="0">RANDBETWEEN(1000,5000)</f>
        <v>1481</v>
      </c>
      <c r="M4" s="1" t="s">
        <v>24</v>
      </c>
      <c r="N4" s="1" t="s">
        <v>16</v>
      </c>
    </row>
    <row r="5" spans="1:14" x14ac:dyDescent="0.35">
      <c r="A5" s="1" t="s">
        <v>109</v>
      </c>
      <c r="B5" s="1" t="s">
        <v>65</v>
      </c>
      <c r="C5" s="1" t="s">
        <v>67</v>
      </c>
      <c r="D5" s="2" t="s">
        <v>59</v>
      </c>
      <c r="E5" s="1" t="s">
        <v>25</v>
      </c>
      <c r="F5" s="1" t="s">
        <v>88</v>
      </c>
      <c r="G5" s="1" t="s">
        <v>11</v>
      </c>
      <c r="H5" s="1" t="s">
        <v>26</v>
      </c>
      <c r="I5" s="1" t="s">
        <v>92</v>
      </c>
      <c r="J5" s="1" t="s">
        <v>90</v>
      </c>
      <c r="K5" s="1"/>
      <c r="L5" s="1">
        <f t="shared" ca="1" si="0"/>
        <v>3152</v>
      </c>
      <c r="M5" s="1" t="s">
        <v>27</v>
      </c>
      <c r="N5" s="1" t="s">
        <v>16</v>
      </c>
    </row>
    <row r="6" spans="1:14" x14ac:dyDescent="0.35">
      <c r="A6" s="1" t="s">
        <v>109</v>
      </c>
      <c r="B6" s="1" t="s">
        <v>65</v>
      </c>
      <c r="C6" s="1" t="s">
        <v>67</v>
      </c>
      <c r="D6" s="2" t="s">
        <v>59</v>
      </c>
      <c r="E6" s="1" t="s">
        <v>28</v>
      </c>
      <c r="F6" s="1" t="s">
        <v>29</v>
      </c>
      <c r="G6" s="1" t="s">
        <v>11</v>
      </c>
      <c r="H6" s="1" t="s">
        <v>104</v>
      </c>
      <c r="I6" s="1" t="s">
        <v>92</v>
      </c>
      <c r="J6" s="1" t="s">
        <v>90</v>
      </c>
      <c r="K6" s="1"/>
      <c r="L6" s="1">
        <f t="shared" ca="1" si="0"/>
        <v>3775</v>
      </c>
      <c r="M6" s="1" t="s">
        <v>27</v>
      </c>
      <c r="N6" s="1" t="s">
        <v>16</v>
      </c>
    </row>
    <row r="7" spans="1:14" x14ac:dyDescent="0.35">
      <c r="A7" s="1" t="s">
        <v>109</v>
      </c>
      <c r="B7" s="1" t="s">
        <v>68</v>
      </c>
      <c r="C7" s="1" t="s">
        <v>67</v>
      </c>
      <c r="D7" s="2" t="s">
        <v>59</v>
      </c>
      <c r="E7" s="1" t="s">
        <v>60</v>
      </c>
      <c r="F7" s="1" t="s">
        <v>95</v>
      </c>
      <c r="G7" s="1" t="s">
        <v>11</v>
      </c>
      <c r="H7" s="1" t="s">
        <v>12</v>
      </c>
      <c r="I7" s="1" t="s">
        <v>93</v>
      </c>
      <c r="J7" s="1" t="s">
        <v>98</v>
      </c>
      <c r="K7" s="1" t="s">
        <v>94</v>
      </c>
      <c r="L7" s="1">
        <f t="shared" ca="1" si="0"/>
        <v>4786</v>
      </c>
      <c r="M7" s="1" t="s">
        <v>15</v>
      </c>
      <c r="N7" s="1" t="s">
        <v>16</v>
      </c>
    </row>
    <row r="8" spans="1:14" ht="29" x14ac:dyDescent="0.35">
      <c r="A8" s="1" t="s">
        <v>109</v>
      </c>
      <c r="B8" s="1" t="s">
        <v>68</v>
      </c>
      <c r="C8" s="1" t="s">
        <v>67</v>
      </c>
      <c r="D8" s="2" t="s">
        <v>59</v>
      </c>
      <c r="E8" s="1" t="s">
        <v>20</v>
      </c>
      <c r="F8" s="1" t="s">
        <v>96</v>
      </c>
      <c r="G8" s="1" t="s">
        <v>11</v>
      </c>
      <c r="H8" s="1" t="s">
        <v>21</v>
      </c>
      <c r="I8" s="1" t="s">
        <v>22</v>
      </c>
      <c r="J8" s="1" t="s">
        <v>98</v>
      </c>
      <c r="K8" s="4" t="s">
        <v>97</v>
      </c>
      <c r="L8" s="1">
        <f t="shared" ca="1" si="0"/>
        <v>2426</v>
      </c>
      <c r="M8" s="1" t="s">
        <v>24</v>
      </c>
      <c r="N8" s="1" t="s">
        <v>16</v>
      </c>
    </row>
    <row r="9" spans="1:14" ht="29" x14ac:dyDescent="0.35">
      <c r="A9" s="1" t="s">
        <v>109</v>
      </c>
      <c r="B9" s="1" t="s">
        <v>30</v>
      </c>
      <c r="C9" s="1" t="s">
        <v>67</v>
      </c>
      <c r="D9" s="2" t="s">
        <v>59</v>
      </c>
      <c r="E9" s="1" t="s">
        <v>31</v>
      </c>
      <c r="F9" s="1" t="s">
        <v>100</v>
      </c>
      <c r="G9" s="1" t="s">
        <v>11</v>
      </c>
      <c r="H9" s="1" t="s">
        <v>32</v>
      </c>
      <c r="I9" s="1" t="s">
        <v>33</v>
      </c>
      <c r="J9" s="1" t="s">
        <v>14</v>
      </c>
      <c r="K9" s="4" t="s">
        <v>107</v>
      </c>
      <c r="L9" s="1">
        <f t="shared" ca="1" si="0"/>
        <v>4226</v>
      </c>
      <c r="M9" s="1" t="s">
        <v>24</v>
      </c>
      <c r="N9" s="1" t="s">
        <v>47</v>
      </c>
    </row>
    <row r="10" spans="1:14" x14ac:dyDescent="0.35">
      <c r="A10" s="1" t="s">
        <v>109</v>
      </c>
      <c r="B10" s="1" t="s">
        <v>30</v>
      </c>
      <c r="C10" s="1" t="s">
        <v>67</v>
      </c>
      <c r="D10" s="2" t="s">
        <v>59</v>
      </c>
      <c r="E10" s="1" t="s">
        <v>34</v>
      </c>
      <c r="F10" s="1" t="s">
        <v>37</v>
      </c>
      <c r="G10" s="1" t="s">
        <v>11</v>
      </c>
      <c r="H10" s="1" t="s">
        <v>35</v>
      </c>
      <c r="I10" s="1" t="s">
        <v>36</v>
      </c>
      <c r="J10" s="1" t="s">
        <v>89</v>
      </c>
      <c r="K10" s="1" t="s">
        <v>108</v>
      </c>
      <c r="L10" s="1">
        <f t="shared" ca="1" si="0"/>
        <v>2988</v>
      </c>
      <c r="M10" s="1" t="s">
        <v>15</v>
      </c>
      <c r="N10" s="1" t="s">
        <v>16</v>
      </c>
    </row>
    <row r="11" spans="1:14" x14ac:dyDescent="0.35">
      <c r="A11" s="1" t="s">
        <v>109</v>
      </c>
      <c r="B11" s="1" t="s">
        <v>69</v>
      </c>
      <c r="C11" s="1" t="s">
        <v>67</v>
      </c>
      <c r="D11" s="2" t="s">
        <v>59</v>
      </c>
      <c r="E11" s="1" t="s">
        <v>38</v>
      </c>
      <c r="F11" s="1" t="s">
        <v>96</v>
      </c>
      <c r="G11" s="1" t="s">
        <v>11</v>
      </c>
      <c r="H11" s="1" t="s">
        <v>39</v>
      </c>
      <c r="I11" s="1" t="s">
        <v>40</v>
      </c>
      <c r="J11" s="1" t="s">
        <v>23</v>
      </c>
      <c r="K11" s="1"/>
      <c r="L11" s="1">
        <f t="shared" ca="1" si="0"/>
        <v>3964</v>
      </c>
      <c r="M11" s="1" t="s">
        <v>27</v>
      </c>
      <c r="N11" s="1" t="s">
        <v>16</v>
      </c>
    </row>
    <row r="12" spans="1:14" x14ac:dyDescent="0.35">
      <c r="A12" s="1" t="s">
        <v>109</v>
      </c>
      <c r="B12" s="1" t="s">
        <v>69</v>
      </c>
      <c r="C12" s="1" t="s">
        <v>67</v>
      </c>
      <c r="D12" s="2" t="s">
        <v>59</v>
      </c>
      <c r="E12" s="1" t="s">
        <v>20</v>
      </c>
      <c r="F12" s="1" t="s">
        <v>96</v>
      </c>
      <c r="G12" s="1" t="s">
        <v>11</v>
      </c>
      <c r="H12" s="1" t="s">
        <v>41</v>
      </c>
      <c r="I12" s="1" t="s">
        <v>42</v>
      </c>
      <c r="J12" s="1" t="s">
        <v>23</v>
      </c>
      <c r="K12" s="1"/>
      <c r="L12" s="1">
        <f t="shared" ca="1" si="0"/>
        <v>3006</v>
      </c>
      <c r="M12" s="1" t="s">
        <v>24</v>
      </c>
      <c r="N12" s="1" t="s">
        <v>16</v>
      </c>
    </row>
    <row r="13" spans="1:14" x14ac:dyDescent="0.35">
      <c r="A13" s="1" t="s">
        <v>109</v>
      </c>
      <c r="B13" s="1" t="s">
        <v>76</v>
      </c>
      <c r="C13" s="1" t="s">
        <v>70</v>
      </c>
      <c r="D13" s="2" t="s">
        <v>59</v>
      </c>
      <c r="E13" s="1" t="s">
        <v>63</v>
      </c>
      <c r="F13" s="1" t="s">
        <v>29</v>
      </c>
      <c r="G13" s="1" t="s">
        <v>43</v>
      </c>
      <c r="H13" s="1" t="s">
        <v>44</v>
      </c>
      <c r="I13" s="1" t="s">
        <v>45</v>
      </c>
      <c r="J13" s="1" t="s">
        <v>29</v>
      </c>
      <c r="K13" s="1"/>
      <c r="L13" s="1">
        <f t="shared" ca="1" si="0"/>
        <v>4763</v>
      </c>
      <c r="M13" s="1" t="s">
        <v>46</v>
      </c>
      <c r="N13" s="1" t="s">
        <v>47</v>
      </c>
    </row>
    <row r="14" spans="1:14" x14ac:dyDescent="0.35">
      <c r="A14" s="1" t="s">
        <v>109</v>
      </c>
      <c r="B14" s="1" t="s">
        <v>77</v>
      </c>
      <c r="C14" s="1" t="s">
        <v>70</v>
      </c>
      <c r="D14" s="2" t="s">
        <v>59</v>
      </c>
      <c r="E14" s="1" t="s">
        <v>48</v>
      </c>
      <c r="F14" s="1" t="s">
        <v>101</v>
      </c>
      <c r="G14" s="1" t="s">
        <v>11</v>
      </c>
      <c r="H14" s="1" t="s">
        <v>18</v>
      </c>
      <c r="I14" s="1" t="s">
        <v>49</v>
      </c>
      <c r="J14" s="1" t="s">
        <v>50</v>
      </c>
      <c r="K14" s="1"/>
      <c r="L14" s="1">
        <f t="shared" ca="1" si="0"/>
        <v>1742</v>
      </c>
      <c r="M14" s="1" t="s">
        <v>51</v>
      </c>
      <c r="N14" s="1" t="s">
        <v>16</v>
      </c>
    </row>
    <row r="15" spans="1:14" ht="29" x14ac:dyDescent="0.35">
      <c r="A15" s="1" t="s">
        <v>109</v>
      </c>
      <c r="B15" s="1" t="s">
        <v>77</v>
      </c>
      <c r="C15" s="1" t="s">
        <v>70</v>
      </c>
      <c r="D15" s="2" t="s">
        <v>59</v>
      </c>
      <c r="E15" s="1" t="s">
        <v>64</v>
      </c>
      <c r="F15" s="1" t="s">
        <v>102</v>
      </c>
      <c r="G15" s="1" t="s">
        <v>11</v>
      </c>
      <c r="H15" s="1" t="s">
        <v>52</v>
      </c>
      <c r="I15" s="1" t="s">
        <v>53</v>
      </c>
      <c r="J15" s="1" t="s">
        <v>54</v>
      </c>
      <c r="K15" s="4" t="s">
        <v>105</v>
      </c>
      <c r="L15" s="1">
        <f t="shared" ca="1" si="0"/>
        <v>1288</v>
      </c>
      <c r="M15" s="1" t="s">
        <v>24</v>
      </c>
      <c r="N15" s="1" t="s">
        <v>16</v>
      </c>
    </row>
    <row r="16" spans="1:14" x14ac:dyDescent="0.35">
      <c r="A16" s="1" t="s">
        <v>109</v>
      </c>
      <c r="B16" s="1" t="s">
        <v>77</v>
      </c>
      <c r="C16" s="1" t="s">
        <v>70</v>
      </c>
      <c r="D16" s="2" t="s">
        <v>59</v>
      </c>
      <c r="E16" s="1" t="s">
        <v>20</v>
      </c>
      <c r="F16" s="1" t="s">
        <v>96</v>
      </c>
      <c r="G16" s="1" t="s">
        <v>11</v>
      </c>
      <c r="H16" s="1" t="s">
        <v>55</v>
      </c>
      <c r="I16" s="1" t="s">
        <v>56</v>
      </c>
      <c r="J16" s="1" t="s">
        <v>23</v>
      </c>
      <c r="K16" s="1" t="s">
        <v>62</v>
      </c>
      <c r="L16" s="1">
        <f t="shared" ca="1" si="0"/>
        <v>3346</v>
      </c>
      <c r="M16" s="1" t="s">
        <v>24</v>
      </c>
      <c r="N16" s="1" t="s">
        <v>16</v>
      </c>
    </row>
    <row r="17" spans="1:14" x14ac:dyDescent="0.35">
      <c r="A17" s="1" t="s">
        <v>109</v>
      </c>
      <c r="B17" s="1" t="s">
        <v>75</v>
      </c>
      <c r="C17" s="1" t="s">
        <v>70</v>
      </c>
      <c r="D17" s="2" t="s">
        <v>59</v>
      </c>
      <c r="E17" s="1" t="s">
        <v>20</v>
      </c>
      <c r="F17" s="1" t="s">
        <v>96</v>
      </c>
      <c r="G17" s="1" t="s">
        <v>11</v>
      </c>
      <c r="H17" s="1" t="s">
        <v>55</v>
      </c>
      <c r="I17" s="1" t="s">
        <v>56</v>
      </c>
      <c r="J17" s="1" t="s">
        <v>23</v>
      </c>
      <c r="K17" s="1" t="s">
        <v>62</v>
      </c>
      <c r="L17" s="1">
        <f t="shared" ca="1" si="0"/>
        <v>4149</v>
      </c>
      <c r="M17" s="1" t="s">
        <v>24</v>
      </c>
      <c r="N17" s="1" t="s">
        <v>16</v>
      </c>
    </row>
    <row r="18" spans="1:14" x14ac:dyDescent="0.35">
      <c r="A18" s="1" t="s">
        <v>109</v>
      </c>
      <c r="B18" s="1" t="s">
        <v>75</v>
      </c>
      <c r="C18" s="1" t="s">
        <v>70</v>
      </c>
      <c r="D18" s="2" t="s">
        <v>59</v>
      </c>
      <c r="E18" s="1" t="s">
        <v>61</v>
      </c>
      <c r="F18" s="1" t="s">
        <v>96</v>
      </c>
      <c r="G18" s="1" t="s">
        <v>11</v>
      </c>
      <c r="H18" s="1" t="s">
        <v>55</v>
      </c>
      <c r="I18" s="1" t="s">
        <v>56</v>
      </c>
      <c r="J18" s="1" t="s">
        <v>23</v>
      </c>
      <c r="K18" s="1"/>
      <c r="L18" s="1">
        <f t="shared" ca="1" si="0"/>
        <v>3873</v>
      </c>
      <c r="M18" s="1"/>
      <c r="N18" s="1"/>
    </row>
    <row r="19" spans="1:14" x14ac:dyDescent="0.35">
      <c r="A19" s="1" t="s">
        <v>109</v>
      </c>
      <c r="B19" s="1" t="s">
        <v>74</v>
      </c>
      <c r="C19" s="1" t="s">
        <v>67</v>
      </c>
      <c r="D19" s="2" t="s">
        <v>59</v>
      </c>
      <c r="E19" s="1" t="s">
        <v>17</v>
      </c>
      <c r="F19" s="1" t="s">
        <v>95</v>
      </c>
      <c r="G19" s="1" t="s">
        <v>11</v>
      </c>
      <c r="H19" s="1" t="s">
        <v>18</v>
      </c>
      <c r="I19" s="1" t="s">
        <v>19</v>
      </c>
      <c r="J19" s="1" t="s">
        <v>14</v>
      </c>
      <c r="K19" s="1"/>
      <c r="L19" s="1">
        <f t="shared" ca="1" si="0"/>
        <v>1965</v>
      </c>
      <c r="M19" s="1" t="s">
        <v>15</v>
      </c>
      <c r="N19" s="1" t="s">
        <v>16</v>
      </c>
    </row>
    <row r="20" spans="1:14" x14ac:dyDescent="0.35">
      <c r="A20" s="1" t="s">
        <v>109</v>
      </c>
      <c r="B20" s="1" t="s">
        <v>74</v>
      </c>
      <c r="C20" s="1" t="s">
        <v>67</v>
      </c>
      <c r="D20" s="2" t="s">
        <v>59</v>
      </c>
      <c r="E20" s="1" t="s">
        <v>20</v>
      </c>
      <c r="F20" s="1" t="s">
        <v>96</v>
      </c>
      <c r="G20" s="1" t="s">
        <v>11</v>
      </c>
      <c r="H20" s="1" t="s">
        <v>21</v>
      </c>
      <c r="I20" s="1" t="s">
        <v>22</v>
      </c>
      <c r="J20" s="1" t="s">
        <v>23</v>
      </c>
      <c r="K20" s="1"/>
      <c r="L20" s="1">
        <f t="shared" ca="1" si="0"/>
        <v>4397</v>
      </c>
      <c r="M20" s="1" t="s">
        <v>24</v>
      </c>
      <c r="N20" s="1" t="s">
        <v>16</v>
      </c>
    </row>
    <row r="21" spans="1:14" x14ac:dyDescent="0.35">
      <c r="A21" s="1" t="s">
        <v>109</v>
      </c>
      <c r="B21" s="1" t="s">
        <v>73</v>
      </c>
      <c r="C21" s="1" t="s">
        <v>70</v>
      </c>
      <c r="D21" s="2" t="s">
        <v>59</v>
      </c>
      <c r="E21" s="1" t="s">
        <v>20</v>
      </c>
      <c r="F21" s="1" t="s">
        <v>96</v>
      </c>
      <c r="G21" s="1" t="s">
        <v>11</v>
      </c>
      <c r="H21" s="1" t="s">
        <v>21</v>
      </c>
      <c r="I21" s="1" t="s">
        <v>22</v>
      </c>
      <c r="J21" s="1" t="s">
        <v>23</v>
      </c>
      <c r="K21" s="1"/>
      <c r="L21" s="1">
        <f t="shared" ca="1" si="0"/>
        <v>1772</v>
      </c>
      <c r="M21" s="1" t="s">
        <v>24</v>
      </c>
      <c r="N21" s="1" t="s">
        <v>16</v>
      </c>
    </row>
    <row r="22" spans="1:14" x14ac:dyDescent="0.35">
      <c r="A22" s="1" t="s">
        <v>109</v>
      </c>
      <c r="B22" s="1" t="s">
        <v>72</v>
      </c>
      <c r="C22" s="1" t="s">
        <v>71</v>
      </c>
      <c r="D22" s="2" t="s">
        <v>59</v>
      </c>
      <c r="E22" s="1" t="s">
        <v>17</v>
      </c>
      <c r="F22" s="1" t="s">
        <v>95</v>
      </c>
      <c r="G22" s="1" t="s">
        <v>11</v>
      </c>
      <c r="H22" s="1" t="s">
        <v>18</v>
      </c>
      <c r="I22" s="1" t="s">
        <v>19</v>
      </c>
      <c r="J22" s="1" t="s">
        <v>14</v>
      </c>
      <c r="K22" s="1"/>
      <c r="L22" s="1">
        <f t="shared" ca="1" si="0"/>
        <v>1225</v>
      </c>
      <c r="M22" s="1"/>
      <c r="N22" s="1"/>
    </row>
    <row r="23" spans="1:14" x14ac:dyDescent="0.35">
      <c r="A23" s="1" t="s">
        <v>109</v>
      </c>
      <c r="B23" s="1" t="s">
        <v>72</v>
      </c>
      <c r="C23" s="1" t="s">
        <v>71</v>
      </c>
      <c r="D23" s="2" t="s">
        <v>59</v>
      </c>
      <c r="E23" s="1" t="s">
        <v>78</v>
      </c>
      <c r="F23" s="1" t="s">
        <v>103</v>
      </c>
      <c r="G23" s="1" t="s">
        <v>11</v>
      </c>
      <c r="H23" s="1" t="s">
        <v>79</v>
      </c>
      <c r="I23" s="1" t="s">
        <v>19</v>
      </c>
      <c r="J23" s="1" t="s">
        <v>14</v>
      </c>
      <c r="K23" s="1"/>
      <c r="L23" s="1">
        <f t="shared" ca="1" si="0"/>
        <v>2976</v>
      </c>
      <c r="M23" s="1"/>
      <c r="N23" s="1" t="s">
        <v>47</v>
      </c>
    </row>
    <row r="24" spans="1:14" ht="29" x14ac:dyDescent="0.35">
      <c r="A24" s="1" t="s">
        <v>109</v>
      </c>
      <c r="B24" s="1" t="s">
        <v>80</v>
      </c>
      <c r="C24" s="1" t="s">
        <v>67</v>
      </c>
      <c r="D24" s="2" t="s">
        <v>59</v>
      </c>
      <c r="E24" s="1" t="s">
        <v>81</v>
      </c>
      <c r="F24" s="1" t="s">
        <v>83</v>
      </c>
      <c r="G24" s="1" t="s">
        <v>11</v>
      </c>
      <c r="H24" s="1" t="s">
        <v>84</v>
      </c>
      <c r="I24" s="1" t="s">
        <v>85</v>
      </c>
      <c r="J24" s="1" t="s">
        <v>98</v>
      </c>
      <c r="K24" s="4" t="s">
        <v>87</v>
      </c>
      <c r="L24" s="1">
        <f t="shared" ca="1" si="0"/>
        <v>3006</v>
      </c>
      <c r="M24" s="1"/>
      <c r="N24" s="1" t="s">
        <v>47</v>
      </c>
    </row>
    <row r="25" spans="1:14" ht="29" x14ac:dyDescent="0.35">
      <c r="A25" s="1" t="s">
        <v>109</v>
      </c>
      <c r="B25" s="1" t="s">
        <v>80</v>
      </c>
      <c r="C25" s="1" t="s">
        <v>67</v>
      </c>
      <c r="D25" s="2" t="s">
        <v>59</v>
      </c>
      <c r="E25" s="1" t="s">
        <v>82</v>
      </c>
      <c r="F25" s="1" t="s">
        <v>83</v>
      </c>
      <c r="G25" s="1" t="s">
        <v>11</v>
      </c>
      <c r="H25" s="1" t="s">
        <v>32</v>
      </c>
      <c r="I25" s="1" t="s">
        <v>86</v>
      </c>
      <c r="J25" s="1" t="s">
        <v>98</v>
      </c>
      <c r="K25" s="4" t="s">
        <v>87</v>
      </c>
      <c r="L25" s="1">
        <f t="shared" ca="1" si="0"/>
        <v>2547</v>
      </c>
      <c r="M25" s="1"/>
      <c r="N25" s="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Faria Maia | SBCD</dc:creator>
  <cp:lastModifiedBy>Rafael Romanini de Oliveira | SBCD</cp:lastModifiedBy>
  <dcterms:created xsi:type="dcterms:W3CDTF">2026-06-02T14:11:15Z</dcterms:created>
  <dcterms:modified xsi:type="dcterms:W3CDTF">2026-06-02T19:29:04Z</dcterms:modified>
</cp:coreProperties>
</file>